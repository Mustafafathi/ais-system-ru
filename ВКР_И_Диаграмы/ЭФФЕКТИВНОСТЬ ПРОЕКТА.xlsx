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\Desktop\ВКР\Рисуноки\"/>
    </mc:Choice>
  </mc:AlternateContent>
  <xr:revisionPtr revIDLastSave="0" documentId="13_ncr:1_{F70EC5F0-C9DB-4216-9784-9D3FBE5B5F06}" xr6:coauthVersionLast="47" xr6:coauthVersionMax="47" xr10:uidLastSave="{00000000-0000-0000-0000-000000000000}"/>
  <bookViews>
    <workbookView xWindow="2970" yWindow="5550" windowWidth="21600" windowHeight="11295" xr2:uid="{00000000-000D-0000-FFFF-FFFF00000000}"/>
  </bookViews>
  <sheets>
    <sheet name="Раздел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C25" i="1"/>
  <c r="B25" i="1"/>
  <c r="D25" i="1" s="1"/>
  <c r="C24" i="1"/>
  <c r="B24" i="1"/>
  <c r="D24" i="1" s="1"/>
  <c r="C23" i="1"/>
  <c r="B23" i="1"/>
  <c r="D23" i="1" s="1"/>
  <c r="C22" i="1"/>
  <c r="B22" i="1"/>
  <c r="D22" i="1" s="1"/>
  <c r="C21" i="1"/>
  <c r="B21" i="1"/>
  <c r="D21" i="1" s="1"/>
  <c r="C20" i="1"/>
  <c r="B10" i="1"/>
  <c r="B11" i="1" s="1"/>
  <c r="B13" i="1" s="1"/>
  <c r="D26" i="1" l="1"/>
  <c r="H7" i="1" s="1"/>
  <c r="B16" i="1"/>
  <c r="E27" i="1"/>
  <c r="H9" i="1"/>
  <c r="H6" i="1"/>
  <c r="B20" i="1"/>
  <c r="D20" i="1" s="1"/>
  <c r="E20" i="1" s="1"/>
  <c r="E21" i="1" l="1"/>
  <c r="H14" i="1"/>
  <c r="E28" i="1"/>
  <c r="H10" i="1"/>
  <c r="E22" i="1" l="1"/>
  <c r="H15" i="1"/>
  <c r="E23" i="1" l="1"/>
  <c r="H16" i="1"/>
  <c r="E24" i="1" l="1"/>
  <c r="H17" i="1"/>
  <c r="E25" i="1" l="1"/>
  <c r="H18" i="1"/>
  <c r="E26" i="1" l="1"/>
  <c r="H8" i="1" s="1"/>
  <c r="H19" i="1"/>
</calcChain>
</file>

<file path=xl/sharedStrings.xml><?xml version="1.0" encoding="utf-8"?>
<sst xmlns="http://schemas.openxmlformats.org/spreadsheetml/2006/main" count="135" uniqueCount="78">
  <si>
    <t>Раздел 4 - Уточнение расчетов эффективности с учетом аудиторного СКУД</t>
  </si>
  <si>
    <t>Исходные данные и стартовые затраты</t>
  </si>
  <si>
    <t>Итоговые показатели</t>
  </si>
  <si>
    <t>Показатель</t>
  </si>
  <si>
    <t>Значение</t>
  </si>
  <si>
    <t>Формула</t>
  </si>
  <si>
    <t>Ед. изм.</t>
  </si>
  <si>
    <t>Источник</t>
  </si>
  <si>
    <t>Количество аудиторий пилотного внедрения</t>
  </si>
  <si>
    <t>принято для пилота</t>
  </si>
  <si>
    <t>шт.</t>
  </si>
  <si>
    <t>по условию расчета</t>
  </si>
  <si>
    <t>Комплект на одну аудиторию</t>
  </si>
  <si>
    <t>=B8+B9</t>
  </si>
  <si>
    <t>Чистый годовой денежный поток</t>
  </si>
  <si>
    <t>из прежней модели</t>
  </si>
  <si>
    <t>руб./год</t>
  </si>
  <si>
    <t>раздел 4</t>
  </si>
  <si>
    <t>Стартовые затраты</t>
  </si>
  <si>
    <t>=B5*B10</t>
  </si>
  <si>
    <t>Горизонт расчета</t>
  </si>
  <si>
    <t>период анализа</t>
  </si>
  <si>
    <t>лет</t>
  </si>
  <si>
    <t>PV денежных потоков</t>
  </si>
  <si>
    <t>=D26</t>
  </si>
  <si>
    <t>Контроллер доступа iFlow F-KD-1311</t>
  </si>
  <si>
    <t>официальная цена</t>
  </si>
  <si>
    <t>руб.</t>
  </si>
  <si>
    <t>[1]</t>
  </si>
  <si>
    <t>ЧДД с учетом оборудования</t>
  </si>
  <si>
    <t>=E26</t>
  </si>
  <si>
    <t>Считыватель Smartec ST-PR042EHM</t>
  </si>
  <si>
    <t>официальный прайс</t>
  </si>
  <si>
    <t>[2], [3]</t>
  </si>
  <si>
    <t>Срок окупаемости</t>
  </si>
  <si>
    <t>=B13/D21</t>
  </si>
  <si>
    <t>расчет</t>
  </si>
  <si>
    <t>TCO за 5 лет</t>
  </si>
  <si>
    <t>=B16</t>
  </si>
  <si>
    <t>Стартовые затраты на СКУД</t>
  </si>
  <si>
    <t>Монтаж, кабель, пусконаладка</t>
  </si>
  <si>
    <t>по смете; не задано</t>
  </si>
  <si>
    <t>не включено без данных</t>
  </si>
  <si>
    <t>Данные графика</t>
  </si>
  <si>
    <t>Итого стартовые затраты (I0)</t>
  </si>
  <si>
    <t>=B11+B12</t>
  </si>
  <si>
    <t>Год</t>
  </si>
  <si>
    <t>Накопленный ЧДД (NPV), руб.</t>
  </si>
  <si>
    <t>Ставка дисконтирования</t>
  </si>
  <si>
    <t>принято в модели</t>
  </si>
  <si>
    <t>%</t>
  </si>
  <si>
    <t>Ежегодные эксплуатационные затраты</t>
  </si>
  <si>
    <t>TCO за 5 лет с учетом СКУД</t>
  </si>
  <si>
    <t>=B15*B7+B13</t>
  </si>
  <si>
    <t>Расчет чистого дисконтированного дохода</t>
  </si>
  <si>
    <t>Чистый CF, руб.</t>
  </si>
  <si>
    <t>Коэф. диск.</t>
  </si>
  <si>
    <t>Дисконтированный CF, руб.</t>
  </si>
  <si>
    <t>Пилотные аудитории</t>
  </si>
  <si>
    <t>№</t>
  </si>
  <si>
    <t>Аудитория</t>
  </si>
  <si>
    <t>Статус</t>
  </si>
  <si>
    <t>Г-221</t>
  </si>
  <si>
    <t>подтверждена SQL</t>
  </si>
  <si>
    <t>А-103</t>
  </si>
  <si>
    <t>Аудитория 3</t>
  </si>
  <si>
    <t>выбор по расписанию</t>
  </si>
  <si>
    <t>Итого</t>
  </si>
  <si>
    <t>Аудитория 4</t>
  </si>
  <si>
    <t>Аудитория 5</t>
  </si>
  <si>
    <t>TCO</t>
  </si>
  <si>
    <t>Текстовое обоснование и источники</t>
  </si>
  <si>
    <t>Для оснащения одной аудитории принят сетевой контроллер iFlow F-KD-1311 стоимостью 15 390 руб. [1] и мультиформатный считыватель Smartec ST-PR042EHM стоимостью 3 850 руб. [2]. Выбор считывателя обоснован поддержкой EM, HID и MIFARE, а также интерфейса Wiegand [3].</t>
  </si>
  <si>
    <t>Контроллер доступа F-KD-1311 // iFlow. URL: https://iflow-tech.ru/products/control-dostupa/controlery/f-kd-1311/</t>
  </si>
  <si>
    <t>[2]</t>
  </si>
  <si>
    <t>Прайс-лист Smartec СКУД. Розничные цены от 20.02.2026 // Smartec. URL: https://www.smartec-security.ru/docs/price/Smartec_SKD_prajs_Roznica_20.02.2026.xlsx</t>
  </si>
  <si>
    <t>[3]</t>
  </si>
  <si>
    <t>ST-PR042EHM. Считыватель бесконтактный: техническое описание // Smartec. URL: https://smartec-security.com/upload/iblock/fab/ST-PR042EHM_datasheet.pdf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</si>
</sst>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руб.&quot;"/>
    <numFmt numFmtId="165" formatCode="0.0%"/>
    <numFmt numFmtId="166" formatCode="#,##0.00\ &quot;руб.&quot;"/>
    <numFmt numFmtId="167" formatCode="0.0000"/>
  </numFmts>
  <fonts count="6">
    <font>
      <sz val="11"/>
      <name val="Carlito"/>
    </font>
    <font>
      <sz val="10"/>
      <color rgb="FF000000"/>
      <name val="Times New Roman"/>
    </font>
    <font>
      <b/>
      <sz val="12"/>
      <color rgb="FF000000"/>
      <name val="Times New Roman"/>
    </font>
    <font>
      <b/>
      <sz val="10"/>
      <color rgb="FF000000"/>
      <name val="Times New Roman"/>
    </font>
    <font>
      <i/>
      <sz val="10"/>
      <color rgb="FF000000"/>
      <name val="Times New Roman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0" borderId="0" xfId="1" applyFont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right" vertical="center" wrapText="1"/>
    </xf>
    <xf numFmtId="0" fontId="1" fillId="0" borderId="1" xfId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right" vertical="center" wrapText="1"/>
    </xf>
    <xf numFmtId="3" fontId="1" fillId="0" borderId="1" xfId="1" applyNumberFormat="1" applyFont="1" applyBorder="1" applyAlignment="1">
      <alignment horizontal="right" vertical="center" wrapText="1"/>
    </xf>
    <xf numFmtId="165" fontId="1" fillId="0" borderId="1" xfId="1" applyNumberFormat="1" applyFont="1" applyBorder="1" applyAlignment="1">
      <alignment horizontal="right" vertical="center" wrapText="1"/>
    </xf>
    <xf numFmtId="0" fontId="4" fillId="0" borderId="1" xfId="1" applyFont="1" applyBorder="1" applyAlignment="1">
      <alignment vertical="center" wrapText="1"/>
    </xf>
    <xf numFmtId="166" fontId="1" fillId="0" borderId="1" xfId="1" applyNumberFormat="1" applyFont="1" applyBorder="1" applyAlignment="1">
      <alignment horizontal="right" vertical="center" wrapText="1"/>
    </xf>
    <xf numFmtId="2" fontId="1" fillId="0" borderId="1" xfId="1" applyNumberFormat="1" applyFont="1" applyBorder="1" applyAlignment="1">
      <alignment horizontal="right" vertical="center" wrapText="1"/>
    </xf>
    <xf numFmtId="167" fontId="1" fillId="0" borderId="1" xfId="1" applyNumberFormat="1" applyFont="1" applyBorder="1" applyAlignment="1">
      <alignment horizontal="right" vertical="center" wrapText="1"/>
    </xf>
    <xf numFmtId="0" fontId="2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ru-RU"/>
              <a:t>График накопленного ЧДД (</a:t>
            </a:r>
            <a:r>
              <a:rPr lang="en-US"/>
              <a:t>NPV), </a:t>
            </a:r>
            <a:r>
              <a:rPr lang="ru-RU"/>
              <a:t>руб.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Накопленный ЧДД (NPV), руб.</c:v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cat>
            <c:numRef>
              <c:f>'Раздел 4'!$G$14:$G$19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'Раздел 4'!$H$14:$H$19</c:f>
              <c:numCache>
                <c:formatCode>#,##0.00\ "руб."</c:formatCode>
                <c:ptCount val="6"/>
                <c:pt idx="0">
                  <c:v>-96200</c:v>
                </c:pt>
                <c:pt idx="1">
                  <c:v>36163.636363636353</c:v>
                </c:pt>
                <c:pt idx="2">
                  <c:v>156494.21487603302</c:v>
                </c:pt>
                <c:pt idx="3">
                  <c:v>265885.64988730272</c:v>
                </c:pt>
                <c:pt idx="4">
                  <c:v>365332.408988457</c:v>
                </c:pt>
                <c:pt idx="5">
                  <c:v>455738.55362586997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F-4CBA-BD24-BBA799C1A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руб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8572500" cy="31432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GOST monochrome">
  <a:themeElements>
    <a:clrScheme name="GOST monochrome">
      <a:dk1>
        <a:srgbClr val="000000"/>
      </a:dk1>
      <a:lt1>
        <a:srgbClr val="FFFFFF"/>
      </a:lt1>
      <a:dk2>
        <a:srgbClr val="0E2841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000000"/>
      </a:hlink>
      <a:folHlink>
        <a:srgbClr val="00000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GOST monochro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topLeftCell="A4" zoomScaleNormal="100" workbookViewId="0">
      <selection activeCell="I14" sqref="I14"/>
    </sheetView>
  </sheetViews>
  <sheetFormatPr defaultRowHeight="14.25"/>
  <cols>
    <col min="1" max="1" width="31.25" customWidth="1"/>
    <col min="2" max="2" width="15" customWidth="1"/>
    <col min="3" max="3" width="16.875" customWidth="1"/>
    <col min="4" max="4" width="14.375" customWidth="1"/>
    <col min="5" max="5" width="16.25" customWidth="1"/>
    <col min="6" max="6" width="3" customWidth="1"/>
    <col min="7" max="7" width="28.75" customWidth="1"/>
    <col min="8" max="8" width="16.875" customWidth="1"/>
    <col min="9" max="9" width="18.125" customWidth="1"/>
  </cols>
  <sheetData>
    <row r="1" spans="1:9" ht="18" customHeight="1">
      <c r="A1" s="13" t="s">
        <v>0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</row>
    <row r="2" spans="1:9" ht="18" customHeight="1">
      <c r="A2" s="1"/>
      <c r="B2" s="1"/>
      <c r="C2" s="1"/>
      <c r="D2" s="1"/>
      <c r="E2" s="1"/>
      <c r="F2" s="1"/>
      <c r="G2" s="1"/>
      <c r="H2" s="1"/>
      <c r="I2" s="1"/>
    </row>
    <row r="3" spans="1:9" ht="18" customHeight="1">
      <c r="A3" s="13" t="s">
        <v>1</v>
      </c>
      <c r="B3" s="13" t="s">
        <v>1</v>
      </c>
      <c r="C3" s="13" t="s">
        <v>1</v>
      </c>
      <c r="D3" s="13" t="s">
        <v>1</v>
      </c>
      <c r="E3" s="13" t="s">
        <v>1</v>
      </c>
      <c r="F3" s="1"/>
      <c r="G3" s="13" t="s">
        <v>2</v>
      </c>
      <c r="H3" s="13" t="s">
        <v>2</v>
      </c>
      <c r="I3" s="13" t="s">
        <v>2</v>
      </c>
    </row>
    <row r="4" spans="1:9" ht="18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"/>
      <c r="G4" s="2" t="s">
        <v>3</v>
      </c>
      <c r="H4" s="2" t="s">
        <v>4</v>
      </c>
      <c r="I4" s="2" t="s">
        <v>5</v>
      </c>
    </row>
    <row r="5" spans="1:9" ht="18" customHeight="1">
      <c r="A5" s="3" t="s">
        <v>8</v>
      </c>
      <c r="B5" s="7">
        <v>5</v>
      </c>
      <c r="C5" s="9" t="s">
        <v>9</v>
      </c>
      <c r="D5" s="5" t="s">
        <v>10</v>
      </c>
      <c r="E5" s="5" t="s">
        <v>11</v>
      </c>
      <c r="F5" s="1"/>
      <c r="G5" s="3" t="s">
        <v>12</v>
      </c>
      <c r="H5" s="10">
        <f>B10</f>
        <v>19240</v>
      </c>
      <c r="I5" s="9" t="s">
        <v>13</v>
      </c>
    </row>
    <row r="6" spans="1:9" ht="18" customHeight="1">
      <c r="A6" s="3" t="s">
        <v>14</v>
      </c>
      <c r="B6" s="6">
        <v>145600</v>
      </c>
      <c r="C6" s="9" t="s">
        <v>15</v>
      </c>
      <c r="D6" s="5" t="s">
        <v>16</v>
      </c>
      <c r="E6" s="5" t="s">
        <v>17</v>
      </c>
      <c r="F6" s="1"/>
      <c r="G6" s="3" t="s">
        <v>18</v>
      </c>
      <c r="H6" s="10">
        <f>B13</f>
        <v>96200</v>
      </c>
      <c r="I6" s="9" t="s">
        <v>19</v>
      </c>
    </row>
    <row r="7" spans="1:9" ht="18" customHeight="1">
      <c r="A7" s="3" t="s">
        <v>20</v>
      </c>
      <c r="B7" s="7">
        <v>5</v>
      </c>
      <c r="C7" s="9" t="s">
        <v>21</v>
      </c>
      <c r="D7" s="5" t="s">
        <v>22</v>
      </c>
      <c r="E7" s="5" t="s">
        <v>17</v>
      </c>
      <c r="F7" s="1"/>
      <c r="G7" s="3" t="s">
        <v>23</v>
      </c>
      <c r="H7" s="10">
        <f>D26</f>
        <v>551938.55362586991</v>
      </c>
      <c r="I7" s="9" t="s">
        <v>24</v>
      </c>
    </row>
    <row r="8" spans="1:9" ht="18" customHeight="1">
      <c r="A8" s="3" t="s">
        <v>25</v>
      </c>
      <c r="B8" s="6">
        <v>15390</v>
      </c>
      <c r="C8" s="9" t="s">
        <v>26</v>
      </c>
      <c r="D8" s="5" t="s">
        <v>27</v>
      </c>
      <c r="E8" s="5" t="s">
        <v>28</v>
      </c>
      <c r="F8" s="1"/>
      <c r="G8" s="3" t="s">
        <v>29</v>
      </c>
      <c r="H8" s="10">
        <f>E26</f>
        <v>455738.55362586997</v>
      </c>
      <c r="I8" s="9" t="s">
        <v>30</v>
      </c>
    </row>
    <row r="9" spans="1:9" ht="18" customHeight="1">
      <c r="A9" s="3" t="s">
        <v>31</v>
      </c>
      <c r="B9" s="6">
        <v>3850</v>
      </c>
      <c r="C9" s="9" t="s">
        <v>32</v>
      </c>
      <c r="D9" s="5" t="s">
        <v>27</v>
      </c>
      <c r="E9" s="5" t="s">
        <v>33</v>
      </c>
      <c r="F9" s="1"/>
      <c r="G9" s="3" t="s">
        <v>34</v>
      </c>
      <c r="H9" s="11">
        <f>B13/D21</f>
        <v>0.72678571428571437</v>
      </c>
      <c r="I9" s="9" t="s">
        <v>35</v>
      </c>
    </row>
    <row r="10" spans="1:9" ht="18" customHeight="1">
      <c r="A10" s="3" t="s">
        <v>12</v>
      </c>
      <c r="B10" s="6">
        <f>B8+B9</f>
        <v>19240</v>
      </c>
      <c r="C10" s="9" t="s">
        <v>13</v>
      </c>
      <c r="D10" s="5" t="s">
        <v>27</v>
      </c>
      <c r="E10" s="5" t="s">
        <v>36</v>
      </c>
      <c r="F10" s="1"/>
      <c r="G10" s="3" t="s">
        <v>37</v>
      </c>
      <c r="H10" s="6">
        <f>B16</f>
        <v>356200</v>
      </c>
      <c r="I10" s="9" t="s">
        <v>38</v>
      </c>
    </row>
    <row r="11" spans="1:9" ht="18" customHeight="1">
      <c r="A11" s="3" t="s">
        <v>39</v>
      </c>
      <c r="B11" s="6">
        <f>B5*B10</f>
        <v>96200</v>
      </c>
      <c r="C11" s="9" t="s">
        <v>19</v>
      </c>
      <c r="D11" s="5" t="s">
        <v>27</v>
      </c>
      <c r="E11" s="5" t="s">
        <v>36</v>
      </c>
      <c r="F11" s="1"/>
      <c r="G11" s="1"/>
      <c r="H11" s="1"/>
      <c r="I11" s="1"/>
    </row>
    <row r="12" spans="1:9" ht="18" customHeight="1">
      <c r="A12" s="3" t="s">
        <v>40</v>
      </c>
      <c r="B12" s="6">
        <v>0</v>
      </c>
      <c r="C12" s="9" t="s">
        <v>41</v>
      </c>
      <c r="D12" s="5" t="s">
        <v>27</v>
      </c>
      <c r="E12" s="5" t="s">
        <v>42</v>
      </c>
      <c r="F12" s="1"/>
      <c r="G12" s="13" t="s">
        <v>43</v>
      </c>
      <c r="H12" s="13" t="s">
        <v>43</v>
      </c>
      <c r="I12" s="13" t="s">
        <v>43</v>
      </c>
    </row>
    <row r="13" spans="1:9" ht="18" customHeight="1">
      <c r="A13" s="3" t="s">
        <v>44</v>
      </c>
      <c r="B13" s="6">
        <f>B11+B12</f>
        <v>96200</v>
      </c>
      <c r="C13" s="9" t="s">
        <v>45</v>
      </c>
      <c r="D13" s="5" t="s">
        <v>27</v>
      </c>
      <c r="E13" s="5" t="s">
        <v>36</v>
      </c>
      <c r="F13" s="1"/>
      <c r="G13" s="2" t="s">
        <v>46</v>
      </c>
      <c r="H13" s="2" t="s">
        <v>47</v>
      </c>
      <c r="I13" s="1"/>
    </row>
    <row r="14" spans="1:9" ht="18" customHeight="1">
      <c r="A14" s="3" t="s">
        <v>48</v>
      </c>
      <c r="B14" s="8">
        <v>0.1</v>
      </c>
      <c r="C14" s="9" t="s">
        <v>49</v>
      </c>
      <c r="D14" s="5" t="s">
        <v>50</v>
      </c>
      <c r="E14" s="5" t="s">
        <v>17</v>
      </c>
      <c r="F14" s="1"/>
      <c r="G14" s="5">
        <v>0</v>
      </c>
      <c r="H14" s="10">
        <f t="shared" ref="H14:H19" si="0">E20</f>
        <v>-96200</v>
      </c>
      <c r="I14" s="1"/>
    </row>
    <row r="15" spans="1:9" ht="18" customHeight="1">
      <c r="A15" s="3" t="s">
        <v>51</v>
      </c>
      <c r="B15" s="6">
        <v>52000</v>
      </c>
      <c r="C15" s="9" t="s">
        <v>15</v>
      </c>
      <c r="D15" s="5" t="s">
        <v>16</v>
      </c>
      <c r="E15" s="5" t="s">
        <v>17</v>
      </c>
      <c r="F15" s="1"/>
      <c r="G15" s="5">
        <v>1</v>
      </c>
      <c r="H15" s="10">
        <f t="shared" si="0"/>
        <v>36163.636363636353</v>
      </c>
      <c r="I15" s="1"/>
    </row>
    <row r="16" spans="1:9" ht="18" customHeight="1">
      <c r="A16" s="3" t="s">
        <v>52</v>
      </c>
      <c r="B16" s="6">
        <f>B15*B7+B13</f>
        <v>356200</v>
      </c>
      <c r="C16" s="9" t="s">
        <v>53</v>
      </c>
      <c r="D16" s="5" t="s">
        <v>27</v>
      </c>
      <c r="E16" s="5" t="s">
        <v>36</v>
      </c>
      <c r="F16" s="1"/>
      <c r="G16" s="5">
        <v>2</v>
      </c>
      <c r="H16" s="10">
        <f t="shared" si="0"/>
        <v>156494.21487603302</v>
      </c>
      <c r="I16" s="1"/>
    </row>
    <row r="17" spans="1:9">
      <c r="A17" s="1"/>
      <c r="B17" s="1"/>
      <c r="C17" s="1"/>
      <c r="D17" s="1"/>
      <c r="E17" s="1"/>
      <c r="F17" s="1"/>
      <c r="G17" s="5">
        <v>3</v>
      </c>
      <c r="H17" s="10">
        <f t="shared" si="0"/>
        <v>265885.64988730272</v>
      </c>
      <c r="I17" s="1"/>
    </row>
    <row r="18" spans="1:9">
      <c r="A18" s="13" t="s">
        <v>54</v>
      </c>
      <c r="B18" s="13" t="s">
        <v>54</v>
      </c>
      <c r="C18" s="13" t="s">
        <v>54</v>
      </c>
      <c r="D18" s="13" t="s">
        <v>54</v>
      </c>
      <c r="E18" s="13" t="s">
        <v>54</v>
      </c>
      <c r="F18" s="1"/>
      <c r="G18" s="5">
        <v>4</v>
      </c>
      <c r="H18" s="10">
        <f t="shared" si="0"/>
        <v>365332.408988457</v>
      </c>
      <c r="I18" s="1"/>
    </row>
    <row r="19" spans="1:9" ht="25.5">
      <c r="A19" s="2" t="s">
        <v>46</v>
      </c>
      <c r="B19" s="2" t="s">
        <v>55</v>
      </c>
      <c r="C19" s="2" t="s">
        <v>56</v>
      </c>
      <c r="D19" s="2" t="s">
        <v>57</v>
      </c>
      <c r="E19" s="2" t="s">
        <v>47</v>
      </c>
      <c r="F19" s="1"/>
      <c r="G19" s="5">
        <v>5</v>
      </c>
      <c r="H19" s="10">
        <f t="shared" si="0"/>
        <v>455738.55362586997</v>
      </c>
      <c r="I19" s="1"/>
    </row>
    <row r="20" spans="1:9">
      <c r="A20" s="5">
        <v>0</v>
      </c>
      <c r="B20" s="6">
        <f>-$B$13</f>
        <v>-96200</v>
      </c>
      <c r="C20" s="12">
        <f>1</f>
        <v>1</v>
      </c>
      <c r="D20" s="10">
        <f t="shared" ref="D20:D25" si="1">B20*C20</f>
        <v>-96200</v>
      </c>
      <c r="E20" s="10">
        <f>D20</f>
        <v>-96200</v>
      </c>
      <c r="F20" s="1"/>
      <c r="G20" s="1"/>
      <c r="H20" s="1"/>
      <c r="I20" s="1"/>
    </row>
    <row r="21" spans="1:9">
      <c r="A21" s="5">
        <v>1</v>
      </c>
      <c r="B21" s="6">
        <f>$B$6</f>
        <v>145600</v>
      </c>
      <c r="C21" s="12">
        <f>1/(1+$B$14)^A21</f>
        <v>0.90909090909090906</v>
      </c>
      <c r="D21" s="10">
        <f t="shared" si="1"/>
        <v>132363.63636363635</v>
      </c>
      <c r="E21" s="10">
        <f>E20+D21</f>
        <v>36163.636363636353</v>
      </c>
      <c r="F21" s="1"/>
      <c r="G21" s="13" t="s">
        <v>58</v>
      </c>
      <c r="H21" s="13" t="s">
        <v>58</v>
      </c>
      <c r="I21" s="13" t="s">
        <v>58</v>
      </c>
    </row>
    <row r="22" spans="1:9" ht="18" customHeight="1">
      <c r="A22" s="5">
        <v>2</v>
      </c>
      <c r="B22" s="6">
        <f>$B$6</f>
        <v>145600</v>
      </c>
      <c r="C22" s="12">
        <f>1/(1+$B$14)^A22</f>
        <v>0.82644628099173545</v>
      </c>
      <c r="D22" s="10">
        <f t="shared" si="1"/>
        <v>120330.57851239668</v>
      </c>
      <c r="E22" s="10">
        <f>E21+D22</f>
        <v>156494.21487603302</v>
      </c>
      <c r="F22" s="1"/>
      <c r="G22" s="2" t="s">
        <v>59</v>
      </c>
      <c r="H22" s="2" t="s">
        <v>60</v>
      </c>
      <c r="I22" s="2" t="s">
        <v>61</v>
      </c>
    </row>
    <row r="23" spans="1:9" ht="22.5" customHeight="1">
      <c r="A23" s="5">
        <v>3</v>
      </c>
      <c r="B23" s="6">
        <f>$B$6</f>
        <v>145600</v>
      </c>
      <c r="C23" s="12">
        <f>1/(1+$B$14)^A23</f>
        <v>0.75131480090157754</v>
      </c>
      <c r="D23" s="10">
        <f t="shared" si="1"/>
        <v>109391.43501126968</v>
      </c>
      <c r="E23" s="10">
        <f>E22+D23</f>
        <v>265885.64988730272</v>
      </c>
      <c r="F23" s="1"/>
      <c r="G23" s="5">
        <v>1</v>
      </c>
      <c r="H23" s="3" t="s">
        <v>62</v>
      </c>
      <c r="I23" s="3" t="s">
        <v>63</v>
      </c>
    </row>
    <row r="24" spans="1:9" ht="22.5" customHeight="1">
      <c r="A24" s="5">
        <v>4</v>
      </c>
      <c r="B24" s="6">
        <f>$B$6</f>
        <v>145600</v>
      </c>
      <c r="C24" s="12">
        <f>1/(1+$B$14)^A24</f>
        <v>0.68301345536507052</v>
      </c>
      <c r="D24" s="10">
        <f t="shared" si="1"/>
        <v>99446.759101154268</v>
      </c>
      <c r="E24" s="10">
        <f>E23+D24</f>
        <v>365332.408988457</v>
      </c>
      <c r="F24" s="1"/>
      <c r="G24" s="5">
        <v>2</v>
      </c>
      <c r="H24" s="3" t="s">
        <v>64</v>
      </c>
      <c r="I24" s="3" t="s">
        <v>63</v>
      </c>
    </row>
    <row r="25" spans="1:9" ht="22.5" customHeight="1">
      <c r="A25" s="5">
        <v>5</v>
      </c>
      <c r="B25" s="6">
        <f>$B$6</f>
        <v>145600</v>
      </c>
      <c r="C25" s="12">
        <f>1/(1+$B$14)^A25</f>
        <v>0.62092132305915493</v>
      </c>
      <c r="D25" s="10">
        <f t="shared" si="1"/>
        <v>90406.144637412959</v>
      </c>
      <c r="E25" s="10">
        <f>E24+D25</f>
        <v>455738.55362586997</v>
      </c>
      <c r="F25" s="1"/>
      <c r="G25" s="5">
        <v>3</v>
      </c>
      <c r="H25" s="3" t="s">
        <v>65</v>
      </c>
      <c r="I25" s="3" t="s">
        <v>66</v>
      </c>
    </row>
    <row r="26" spans="1:9" ht="22.5" customHeight="1">
      <c r="A26" s="5" t="s">
        <v>67</v>
      </c>
      <c r="B26" s="4"/>
      <c r="C26" s="4"/>
      <c r="D26" s="10">
        <f>SUM(D21:D25)</f>
        <v>551938.55362586991</v>
      </c>
      <c r="E26" s="10">
        <f>E25</f>
        <v>455738.55362586997</v>
      </c>
      <c r="F26" s="1"/>
      <c r="G26" s="5">
        <v>4</v>
      </c>
      <c r="H26" s="3" t="s">
        <v>68</v>
      </c>
      <c r="I26" s="3" t="s">
        <v>66</v>
      </c>
    </row>
    <row r="27" spans="1:9" ht="22.5" customHeight="1">
      <c r="A27" s="5" t="s">
        <v>34</v>
      </c>
      <c r="B27" s="4"/>
      <c r="C27" s="4"/>
      <c r="D27" s="4"/>
      <c r="E27" s="11">
        <f>B13/D21</f>
        <v>0.72678571428571437</v>
      </c>
      <c r="F27" s="1"/>
      <c r="G27" s="5">
        <v>5</v>
      </c>
      <c r="H27" s="3" t="s">
        <v>69</v>
      </c>
      <c r="I27" s="3" t="s">
        <v>66</v>
      </c>
    </row>
    <row r="28" spans="1:9" ht="18" customHeight="1">
      <c r="A28" s="5" t="s">
        <v>70</v>
      </c>
      <c r="B28" s="4"/>
      <c r="C28" s="4"/>
      <c r="D28" s="4"/>
      <c r="E28" s="6">
        <f>B16</f>
        <v>356200</v>
      </c>
      <c r="F28" s="1"/>
      <c r="G28" s="1"/>
      <c r="H28" s="1"/>
      <c r="I28" s="1"/>
    </row>
    <row r="29" spans="1:9" ht="18" customHeight="1">
      <c r="A29" s="1"/>
      <c r="B29" s="1"/>
      <c r="C29" s="1"/>
      <c r="D29" s="1"/>
      <c r="E29" s="1"/>
      <c r="F29" s="1"/>
      <c r="G29" s="1"/>
      <c r="H29" s="1"/>
      <c r="I29" s="1"/>
    </row>
    <row r="30" spans="1:9" ht="18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9" ht="18" customHeight="1">
      <c r="A31" s="1"/>
      <c r="B31" s="1"/>
      <c r="C31" s="1"/>
      <c r="D31" s="1"/>
      <c r="E31" s="1"/>
      <c r="F31" s="1"/>
      <c r="G31" s="1"/>
      <c r="H31" s="1"/>
      <c r="I31" s="1"/>
    </row>
    <row r="32" spans="1:9" ht="18" customHeight="1">
      <c r="A32" s="1"/>
      <c r="B32" s="1"/>
      <c r="C32" s="1"/>
      <c r="D32" s="1"/>
      <c r="E32" s="1"/>
      <c r="F32" s="1"/>
      <c r="G32" s="1"/>
      <c r="H32" s="1"/>
      <c r="I32" s="1"/>
    </row>
    <row r="33" spans="1:9" ht="18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:9" ht="18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8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8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18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18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18" customHeight="1">
      <c r="A39" s="1"/>
      <c r="B39" s="1"/>
      <c r="C39" s="1"/>
      <c r="D39" s="1"/>
      <c r="E39" s="1"/>
      <c r="F39" s="1"/>
      <c r="G39" s="1"/>
      <c r="H39" s="1"/>
      <c r="I39" s="1"/>
    </row>
    <row r="40" spans="1:9" ht="18" customHeight="1">
      <c r="A40" s="1"/>
      <c r="B40" s="1"/>
      <c r="C40" s="1"/>
      <c r="D40" s="1"/>
      <c r="E40" s="1"/>
      <c r="F40" s="1"/>
      <c r="G40" s="1"/>
      <c r="H40" s="1"/>
      <c r="I40" s="1"/>
    </row>
    <row r="41" spans="1:9" ht="18" customHeight="1">
      <c r="A41" s="1"/>
      <c r="B41" s="1"/>
      <c r="C41" s="1"/>
      <c r="D41" s="1"/>
      <c r="E41" s="1"/>
      <c r="F41" s="1"/>
      <c r="G41" s="1"/>
      <c r="H41" s="1"/>
      <c r="I41" s="1"/>
    </row>
    <row r="42" spans="1:9" ht="18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18" customHeight="1">
      <c r="A43" s="1"/>
      <c r="B43" s="1"/>
      <c r="C43" s="1"/>
      <c r="D43" s="1"/>
      <c r="E43" s="1"/>
      <c r="F43" s="1"/>
      <c r="G43" s="1"/>
      <c r="H43" s="1"/>
      <c r="I43" s="1"/>
    </row>
    <row r="44" spans="1:9" ht="18" customHeight="1">
      <c r="A44" s="1"/>
      <c r="B44" s="1"/>
      <c r="C44" s="1"/>
      <c r="D44" s="1"/>
      <c r="E44" s="1"/>
      <c r="F44" s="1"/>
      <c r="G44" s="1"/>
      <c r="H44" s="1"/>
      <c r="I44" s="1"/>
    </row>
    <row r="45" spans="1:9" ht="18" customHeight="1">
      <c r="A45" s="1"/>
      <c r="B45" s="1"/>
      <c r="C45" s="1"/>
      <c r="D45" s="1"/>
      <c r="E45" s="1"/>
      <c r="F45" s="1"/>
      <c r="G45" s="1"/>
      <c r="H45" s="1"/>
      <c r="I45" s="1"/>
    </row>
    <row r="46" spans="1:9" ht="18" customHeight="1">
      <c r="A46" s="1"/>
      <c r="B46" s="1"/>
      <c r="C46" s="1"/>
      <c r="D46" s="1"/>
      <c r="E46" s="1"/>
      <c r="F46" s="1"/>
      <c r="G46" s="1"/>
      <c r="H46" s="1"/>
      <c r="I46" s="1"/>
    </row>
    <row r="47" spans="1:9" ht="18" customHeight="1">
      <c r="A47" s="13" t="s">
        <v>71</v>
      </c>
      <c r="B47" s="13" t="s">
        <v>71</v>
      </c>
      <c r="C47" s="13" t="s">
        <v>71</v>
      </c>
      <c r="D47" s="13" t="s">
        <v>71</v>
      </c>
      <c r="E47" s="13" t="s">
        <v>71</v>
      </c>
      <c r="F47" s="13" t="s">
        <v>71</v>
      </c>
      <c r="G47" s="13" t="s">
        <v>71</v>
      </c>
      <c r="H47" s="13" t="s">
        <v>71</v>
      </c>
      <c r="I47" s="13" t="s">
        <v>71</v>
      </c>
    </row>
    <row r="48" spans="1:9" ht="40.5" customHeight="1">
      <c r="A48" s="14" t="s">
        <v>72</v>
      </c>
      <c r="B48" s="14"/>
      <c r="C48" s="14"/>
      <c r="D48" s="14"/>
      <c r="E48" s="14"/>
      <c r="F48" s="14"/>
      <c r="G48" s="14"/>
      <c r="H48" s="14"/>
      <c r="I48" s="14"/>
    </row>
    <row r="49" spans="1:9" ht="18" customHeight="1">
      <c r="A49" s="1"/>
      <c r="B49" s="1"/>
      <c r="C49" s="1"/>
      <c r="D49" s="1"/>
      <c r="E49" s="1"/>
      <c r="F49" s="1"/>
      <c r="G49" s="1"/>
      <c r="H49" s="1"/>
      <c r="I49" s="1"/>
    </row>
    <row r="50" spans="1:9" ht="31.5" customHeight="1">
      <c r="A50" s="5" t="s">
        <v>28</v>
      </c>
      <c r="B50" s="14" t="s">
        <v>73</v>
      </c>
      <c r="C50" s="14"/>
      <c r="D50" s="14"/>
      <c r="E50" s="14"/>
      <c r="F50" s="14"/>
      <c r="G50" s="14"/>
      <c r="H50" s="14"/>
      <c r="I50" s="14"/>
    </row>
    <row r="51" spans="1:9" ht="31.5" customHeight="1">
      <c r="A51" s="5" t="s">
        <v>74</v>
      </c>
      <c r="B51" s="14" t="s">
        <v>75</v>
      </c>
      <c r="C51" s="14"/>
      <c r="D51" s="14"/>
      <c r="E51" s="14"/>
      <c r="F51" s="14"/>
      <c r="G51" s="14"/>
      <c r="H51" s="14"/>
      <c r="I51" s="14"/>
    </row>
    <row r="52" spans="1:9" ht="31.5" customHeight="1">
      <c r="A52" s="5" t="s">
        <v>76</v>
      </c>
      <c r="B52" s="14" t="s">
        <v>77</v>
      </c>
      <c r="C52" s="14"/>
      <c r="D52" s="14"/>
      <c r="E52" s="14"/>
      <c r="F52" s="14"/>
      <c r="G52" s="14"/>
      <c r="H52" s="14"/>
      <c r="I52" s="14"/>
    </row>
    <row r="53" spans="1:9" ht="18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8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8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8" customHeight="1">
      <c r="A56" s="1"/>
      <c r="B56" s="1"/>
      <c r="C56" s="1"/>
      <c r="D56" s="1"/>
      <c r="E56" s="1"/>
      <c r="F56" s="1"/>
      <c r="G56" s="1"/>
      <c r="H56" s="1"/>
      <c r="I56" s="1"/>
    </row>
    <row r="57" spans="1:9" ht="18" customHeight="1">
      <c r="A57" s="1"/>
      <c r="B57" s="1"/>
      <c r="C57" s="1"/>
      <c r="D57" s="1"/>
      <c r="E57" s="1"/>
      <c r="F57" s="1"/>
      <c r="G57" s="1"/>
      <c r="H57" s="1"/>
      <c r="I57" s="1"/>
    </row>
    <row r="58" spans="1:9" ht="18" customHeight="1">
      <c r="A58" s="1"/>
      <c r="B58" s="1"/>
      <c r="C58" s="1"/>
      <c r="D58" s="1"/>
      <c r="E58" s="1"/>
      <c r="F58" s="1"/>
      <c r="G58" s="1"/>
      <c r="H58" s="1"/>
      <c r="I58" s="1"/>
    </row>
  </sheetData>
  <mergeCells count="11">
    <mergeCell ref="B52:I52"/>
    <mergeCell ref="G21:I21"/>
    <mergeCell ref="A47:I47"/>
    <mergeCell ref="A48:I48"/>
    <mergeCell ref="B50:I50"/>
    <mergeCell ref="B51:I51"/>
    <mergeCell ref="A1:I1"/>
    <mergeCell ref="A3:E3"/>
    <mergeCell ref="G3:I3"/>
    <mergeCell ref="A18:E18"/>
    <mergeCell ref="G12: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Раздел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</cp:lastModifiedBy>
  <dcterms:modified xsi:type="dcterms:W3CDTF">2026-06-07T00:01:50Z</dcterms:modified>
</cp:coreProperties>
</file>